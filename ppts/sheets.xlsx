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eet89/Documents/proposal_dissertation_fmt/ppts/"/>
    </mc:Choice>
  </mc:AlternateContent>
  <xr:revisionPtr revIDLastSave="0" documentId="8_{939DD318-110E-0643-B51E-FEC41F52D816}" xr6:coauthVersionLast="47" xr6:coauthVersionMax="47" xr10:uidLastSave="{00000000-0000-0000-0000-000000000000}"/>
  <bookViews>
    <workbookView xWindow="0" yWindow="500" windowWidth="35840" windowHeight="21900" activeTab="1" xr2:uid="{A0877116-9E1F-D24B-B4B5-91F39A671F9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F18" i="1" s="1"/>
  <c r="D17" i="1"/>
  <c r="D16" i="1"/>
  <c r="D15" i="1"/>
  <c r="F15" i="1" s="1"/>
  <c r="E20" i="1"/>
  <c r="E19" i="1"/>
  <c r="E18" i="1"/>
  <c r="E17" i="1"/>
  <c r="F17" i="1" s="1"/>
  <c r="F16" i="1"/>
  <c r="F20" i="1" l="1"/>
  <c r="F19" i="1"/>
</calcChain>
</file>

<file path=xl/sharedStrings.xml><?xml version="1.0" encoding="utf-8"?>
<sst xmlns="http://schemas.openxmlformats.org/spreadsheetml/2006/main" count="58" uniqueCount="34">
  <si>
    <t>System</t>
  </si>
  <si>
    <t>Time (s)</t>
  </si>
  <si>
    <t>cit-Patents</t>
  </si>
  <si>
    <t>Kron-s26</t>
  </si>
  <si>
    <t>Flexograph</t>
  </si>
  <si>
    <t>Algo Time</t>
  </si>
  <si>
    <t>PP Time</t>
  </si>
  <si>
    <t>Total Time</t>
  </si>
  <si>
    <t>GAPBS</t>
  </si>
  <si>
    <t>GraphChi</t>
  </si>
  <si>
    <t>Algo Time (s)</t>
  </si>
  <si>
    <t>Preprocessing Time (s)</t>
  </si>
  <si>
    <t>System Type</t>
  </si>
  <si>
    <t>Workload</t>
  </si>
  <si>
    <t>Benchmark Framework</t>
  </si>
  <si>
    <t>Relevant Flexograph Code Ready?</t>
  </si>
  <si>
    <t>Comparison Done?</t>
  </si>
  <si>
    <t>Competitor Systems</t>
  </si>
  <si>
    <t>In-Memory Analytics</t>
  </si>
  <si>
    <t>Analytics</t>
  </si>
  <si>
    <t>DONE</t>
  </si>
  <si>
    <t>TBD</t>
  </si>
  <si>
    <t>GraphChi, X-Stream, Lumos, Blaze</t>
  </si>
  <si>
    <t>Out-of-Core Analytics</t>
  </si>
  <si>
    <t>IN - PROGRESS</t>
  </si>
  <si>
    <t>GAPBS, Ligra, Galois</t>
  </si>
  <si>
    <t>Dynamic GPS</t>
  </si>
  <si>
    <t>Analytics + Transactional microbenchmarks</t>
  </si>
  <si>
    <t>GAPBS + Grafaree</t>
  </si>
  <si>
    <t>GraphOne, Teseo, LiveGraph</t>
  </si>
  <si>
    <t>Graph DBs</t>
  </si>
  <si>
    <t>Neo4j / ArangoDB</t>
  </si>
  <si>
    <t>LDBC FinBench</t>
  </si>
  <si>
    <t>Analytics + Transactional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</si>
</sst>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1"/>
    </font>
    <font>
      <b/>
      <sz val="12"/>
      <color theme="1"/>
      <name val="Aptos Narrow"/>
      <scheme val="minor"/>
    </font>
    <font>
      <b/>
      <sz val="12"/>
      <color rgb="FF006100"/>
      <name val="Aptos Narrow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6100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b/>
      <sz val="16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0D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7" fillId="0" borderId="0">
      <alignment vertical="center" wrapText="1"/>
    </xf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3" applyFont="1" applyFill="1" applyBorder="1" applyAlignment="1">
      <alignment vertical="top" wrapText="1"/>
    </xf>
    <xf numFmtId="0" fontId="11" fillId="0" borderId="2" xfId="1" applyFont="1" applyFill="1" applyBorder="1" applyAlignment="1">
      <alignment vertical="top" wrapText="1"/>
    </xf>
    <xf numFmtId="0" fontId="12" fillId="0" borderId="2" xfId="2" applyFont="1" applyFill="1" applyBorder="1" applyAlignment="1">
      <alignment vertical="top" wrapText="1"/>
    </xf>
  </cellXfs>
  <cellStyles count="4">
    <cellStyle name="Calculation" xfId="1" builtinId="22"/>
    <cellStyle name="Normal" xfId="0" builtinId="0"/>
    <cellStyle name="Style 1" xfId="3" xr:uid="{526A7136-CF43-644A-89E3-5E2D9979955F}"/>
    <cellStyle name="Warning Text" xfId="2" builtinId="11"/>
  </cellStyles>
  <dxfs count="0"/>
  <tableStyles count="0" defaultTableStyle="TableStyleMedium2" defaultPivotStyle="PivotStyleLight16"/>
  <colors>
    <mruColors>
      <color rgb="FFFFF0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PageRank</a:t>
            </a:r>
            <a:r>
              <a:rPr lang="en-US" sz="1800" b="1" baseline="0"/>
              <a:t> r</a:t>
            </a:r>
            <a:r>
              <a:rPr lang="en-US" sz="1800" b="1"/>
              <a:t>un</a:t>
            </a:r>
            <a:r>
              <a:rPr lang="en-US" sz="1800" b="1" baseline="0"/>
              <a:t>time breakdown on cit-Patents dataset 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Algo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Sheet1!$B$15:$C$17</c:f>
              <c:multiLvlStrCache>
                <c:ptCount val="3"/>
                <c:lvl>
                  <c:pt idx="0">
                    <c:v>Flexograph</c:v>
                  </c:pt>
                  <c:pt idx="1">
                    <c:v>GAPBS</c:v>
                  </c:pt>
                  <c:pt idx="2">
                    <c:v>GraphChi</c:v>
                  </c:pt>
                </c:lvl>
                <c:lvl>
                  <c:pt idx="0">
                    <c:v>cit-Patents</c:v>
                  </c:pt>
                </c:lvl>
              </c:multiLvlStrCache>
            </c:multiLvlStrRef>
          </c:cat>
          <c:val>
            <c:numRef>
              <c:f>Sheet1!$D$15:$D$17</c:f>
              <c:numCache>
                <c:formatCode>General</c:formatCode>
                <c:ptCount val="3"/>
                <c:pt idx="0">
                  <c:v>0.49</c:v>
                </c:pt>
                <c:pt idx="1">
                  <c:v>6.9999999999999993E-2</c:v>
                </c:pt>
                <c:pt idx="2">
                  <c:v>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1-284C-8DB9-0AA4617302DE}"/>
            </c:ext>
          </c:extLst>
        </c:ser>
        <c:ser>
          <c:idx val="1"/>
          <c:order val="1"/>
          <c:tx>
            <c:strRef>
              <c:f>Sheet1!$E$14</c:f>
              <c:strCache>
                <c:ptCount val="1"/>
                <c:pt idx="0">
                  <c:v>Preprocessing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Sheet1!$B$15:$C$17</c:f>
              <c:multiLvlStrCache>
                <c:ptCount val="3"/>
                <c:lvl>
                  <c:pt idx="0">
                    <c:v>Flexograph</c:v>
                  </c:pt>
                  <c:pt idx="1">
                    <c:v>GAPBS</c:v>
                  </c:pt>
                  <c:pt idx="2">
                    <c:v>GraphChi</c:v>
                  </c:pt>
                </c:lvl>
                <c:lvl>
                  <c:pt idx="0">
                    <c:v>cit-Patents</c:v>
                  </c:pt>
                </c:lvl>
              </c:multiLvlStrCache>
            </c:multiLvlStrRef>
          </c:cat>
          <c:val>
            <c:numRef>
              <c:f>Sheet1!$E$15:$E$17</c:f>
              <c:numCache>
                <c:formatCode>General</c:formatCode>
                <c:ptCount val="3"/>
                <c:pt idx="0">
                  <c:v>1.21</c:v>
                </c:pt>
                <c:pt idx="1">
                  <c:v>2.25</c:v>
                </c:pt>
                <c:pt idx="2">
                  <c:v>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1-284C-8DB9-0AA461730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19046192"/>
        <c:axId val="619232832"/>
      </c:barChart>
      <c:catAx>
        <c:axId val="61904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32832"/>
        <c:crosses val="autoZero"/>
        <c:auto val="1"/>
        <c:lblAlgn val="ctr"/>
        <c:lblOffset val="100"/>
        <c:noMultiLvlLbl val="0"/>
      </c:catAx>
      <c:valAx>
        <c:axId val="61923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PageRank runtime breakdown on a Kronecker graph (SF=26)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Algo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Sheet1!$B$18:$C$20</c:f>
              <c:multiLvlStrCache>
                <c:ptCount val="3"/>
                <c:lvl>
                  <c:pt idx="0">
                    <c:v>Flexograph</c:v>
                  </c:pt>
                  <c:pt idx="1">
                    <c:v>GAPBS</c:v>
                  </c:pt>
                  <c:pt idx="2">
                    <c:v>GraphChi</c:v>
                  </c:pt>
                </c:lvl>
                <c:lvl>
                  <c:pt idx="0">
                    <c:v>Kron-s26</c:v>
                  </c:pt>
                </c:lvl>
              </c:multiLvlStrCache>
            </c:multiLvlStrRef>
          </c:cat>
          <c:val>
            <c:numRef>
              <c:f>Sheet1!$D$18:$D$20</c:f>
              <c:numCache>
                <c:formatCode>General</c:formatCode>
                <c:ptCount val="3"/>
                <c:pt idx="0">
                  <c:v>23.94</c:v>
                </c:pt>
                <c:pt idx="1">
                  <c:v>9.82</c:v>
                </c:pt>
                <c:pt idx="2">
                  <c:v>734.04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1-FF41-9FF8-2C17E1ECD226}"/>
            </c:ext>
          </c:extLst>
        </c:ser>
        <c:ser>
          <c:idx val="1"/>
          <c:order val="1"/>
          <c:tx>
            <c:strRef>
              <c:f>Sheet1!$E$14</c:f>
              <c:strCache>
                <c:ptCount val="1"/>
                <c:pt idx="0">
                  <c:v>Preprocessing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Sheet1!$B$18:$C$20</c:f>
              <c:multiLvlStrCache>
                <c:ptCount val="3"/>
                <c:lvl>
                  <c:pt idx="0">
                    <c:v>Flexograph</c:v>
                  </c:pt>
                  <c:pt idx="1">
                    <c:v>GAPBS</c:v>
                  </c:pt>
                  <c:pt idx="2">
                    <c:v>GraphChi</c:v>
                  </c:pt>
                </c:lvl>
                <c:lvl>
                  <c:pt idx="0">
                    <c:v>Kron-s26</c:v>
                  </c:pt>
                </c:lvl>
              </c:multiLvlStrCache>
            </c:multiLvlStrRef>
          </c:cat>
          <c:val>
            <c:numRef>
              <c:f>Sheet1!$E$18:$E$20</c:f>
              <c:numCache>
                <c:formatCode>General</c:formatCode>
                <c:ptCount val="3"/>
                <c:pt idx="0">
                  <c:v>11.68</c:v>
                </c:pt>
                <c:pt idx="1">
                  <c:v>154.79</c:v>
                </c:pt>
                <c:pt idx="2">
                  <c:v>103.28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1-FF41-9FF8-2C17E1ECD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15878864"/>
        <c:axId val="215880576"/>
      </c:barChart>
      <c:catAx>
        <c:axId val="21587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80576"/>
        <c:crosses val="autoZero"/>
        <c:auto val="1"/>
        <c:lblAlgn val="ctr"/>
        <c:lblOffset val="100"/>
        <c:noMultiLvlLbl val="0"/>
      </c:catAx>
      <c:valAx>
        <c:axId val="21588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7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8535</xdr:colOff>
      <xdr:row>0</xdr:row>
      <xdr:rowOff>0</xdr:rowOff>
    </xdr:from>
    <xdr:to>
      <xdr:col>16</xdr:col>
      <xdr:colOff>256134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23D912-BC40-0E46-3098-1464FC7C9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811093</xdr:colOff>
      <xdr:row>20</xdr:row>
      <xdr:rowOff>10674</xdr:rowOff>
    </xdr:from>
    <xdr:to>
      <xdr:col>16</xdr:col>
      <xdr:colOff>234791</xdr:colOff>
      <xdr:row>39</xdr:row>
      <xdr:rowOff>32018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3558CD-2D32-BE09-1889-B9E1404D4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2B8A-3E4A-F841-85EB-7986723B852F}">
  <dimension ref="A1:F20"/>
  <sheetViews>
    <sheetView zoomScale="119" zoomScaleNormal="119" workbookViewId="0">
      <selection activeCell="S37" sqref="S3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s="4" t="s">
        <v>4</v>
      </c>
      <c r="B2" s="1" t="s">
        <v>5</v>
      </c>
      <c r="C2" s="2">
        <v>0.48099999999999998</v>
      </c>
      <c r="D2" s="2">
        <v>23.938800000000001</v>
      </c>
    </row>
    <row r="3" spans="1:6" x14ac:dyDescent="0.2">
      <c r="A3" s="4"/>
      <c r="B3" s="1" t="s">
        <v>6</v>
      </c>
      <c r="C3" s="2">
        <v>1.2</v>
      </c>
      <c r="D3" s="2">
        <v>11.6708</v>
      </c>
    </row>
    <row r="4" spans="1:6" x14ac:dyDescent="0.2">
      <c r="A4" s="4"/>
      <c r="B4" s="1" t="s">
        <v>7</v>
      </c>
      <c r="C4" s="2">
        <v>1.681</v>
      </c>
      <c r="D4" s="2">
        <v>35.61</v>
      </c>
    </row>
    <row r="5" spans="1:6" x14ac:dyDescent="0.2">
      <c r="A5" s="4" t="s">
        <v>8</v>
      </c>
      <c r="B5" s="1" t="s">
        <v>5</v>
      </c>
      <c r="C5" s="2">
        <v>6.3E-2</v>
      </c>
      <c r="D5" s="2">
        <v>9.8140000000000001</v>
      </c>
    </row>
    <row r="6" spans="1:6" x14ac:dyDescent="0.2">
      <c r="A6" s="4"/>
      <c r="B6" s="1" t="s">
        <v>6</v>
      </c>
      <c r="C6" s="2">
        <v>2.25</v>
      </c>
      <c r="D6" s="2">
        <v>154.78800000000001</v>
      </c>
    </row>
    <row r="7" spans="1:6" x14ac:dyDescent="0.2">
      <c r="A7" s="4"/>
      <c r="B7" s="1" t="s">
        <v>7</v>
      </c>
      <c r="C7" s="2">
        <v>2.3130000000000002</v>
      </c>
      <c r="D7" s="2">
        <v>164.602</v>
      </c>
    </row>
    <row r="8" spans="1:6" x14ac:dyDescent="0.2">
      <c r="A8" s="4" t="s">
        <v>9</v>
      </c>
      <c r="B8" s="1" t="s">
        <v>5</v>
      </c>
      <c r="C8" s="2">
        <v>2.6844130000000002</v>
      </c>
      <c r="D8" s="3">
        <v>734.03800000000001</v>
      </c>
    </row>
    <row r="9" spans="1:6" x14ac:dyDescent="0.2">
      <c r="A9" s="4"/>
      <c r="B9" s="1" t="s">
        <v>6</v>
      </c>
      <c r="C9" s="2">
        <v>1.52508</v>
      </c>
      <c r="D9" s="2">
        <v>103.277</v>
      </c>
    </row>
    <row r="10" spans="1:6" x14ac:dyDescent="0.2">
      <c r="A10" s="4"/>
      <c r="B10" s="1" t="s">
        <v>7</v>
      </c>
      <c r="C10" s="2">
        <v>4.21</v>
      </c>
      <c r="D10" s="2">
        <v>837.31500000000005</v>
      </c>
    </row>
    <row r="13" spans="1:6" x14ac:dyDescent="0.2">
      <c r="D13" s="4" t="s">
        <v>1</v>
      </c>
      <c r="E13" s="4"/>
      <c r="F13" s="4"/>
    </row>
    <row r="14" spans="1:6" x14ac:dyDescent="0.2">
      <c r="D14" s="1" t="s">
        <v>10</v>
      </c>
      <c r="E14" s="1" t="s">
        <v>11</v>
      </c>
      <c r="F14" s="1" t="s">
        <v>7</v>
      </c>
    </row>
    <row r="15" spans="1:6" x14ac:dyDescent="0.2">
      <c r="B15" s="5" t="s">
        <v>2</v>
      </c>
      <c r="C15" t="s">
        <v>4</v>
      </c>
      <c r="D15" s="2">
        <f>ROUNDUP(0.481,2)</f>
        <v>0.49</v>
      </c>
      <c r="E15" s="2">
        <v>1.21</v>
      </c>
      <c r="F15">
        <f>ROUNDUP(SUM(D15:E15),2)</f>
        <v>1.7</v>
      </c>
    </row>
    <row r="16" spans="1:6" x14ac:dyDescent="0.2">
      <c r="B16" s="5"/>
      <c r="C16" t="s">
        <v>8</v>
      </c>
      <c r="D16" s="2">
        <f>ROUNDUP(0.063,2)</f>
        <v>6.9999999999999993E-2</v>
      </c>
      <c r="E16" s="2">
        <v>2.25</v>
      </c>
      <c r="F16">
        <f>ROUNDUP(SUM(D16:E16),2)</f>
        <v>2.3199999999999998</v>
      </c>
    </row>
    <row r="17" spans="2:6" x14ac:dyDescent="0.2">
      <c r="B17" s="5"/>
      <c r="C17" t="s">
        <v>9</v>
      </c>
      <c r="D17" s="2">
        <f>ROUNDUP(2.684413,2)</f>
        <v>2.69</v>
      </c>
      <c r="E17" s="2">
        <f>ROUNDUP(1.52508,2)</f>
        <v>1.53</v>
      </c>
      <c r="F17">
        <f>ROUNDUP(SUM(D17:E17),3)</f>
        <v>4.22</v>
      </c>
    </row>
    <row r="18" spans="2:6" x14ac:dyDescent="0.2">
      <c r="B18" s="5" t="s">
        <v>3</v>
      </c>
      <c r="C18" t="s">
        <v>4</v>
      </c>
      <c r="D18" s="2">
        <f>ROUNDUP(23.9388,2)</f>
        <v>23.94</v>
      </c>
      <c r="E18" s="2">
        <f>ROUNDUP(11.6708,2)</f>
        <v>11.68</v>
      </c>
      <c r="F18">
        <f>ROUNDUP(SUM(D18:E18),2)</f>
        <v>35.619999999999997</v>
      </c>
    </row>
    <row r="19" spans="2:6" x14ac:dyDescent="0.2">
      <c r="B19" s="5"/>
      <c r="C19" t="s">
        <v>8</v>
      </c>
      <c r="D19" s="2">
        <f>ROUNDUP(9.814,2)</f>
        <v>9.82</v>
      </c>
      <c r="E19" s="2">
        <f>ROUNDUP(154.788,2)</f>
        <v>154.79</v>
      </c>
      <c r="F19">
        <f t="shared" ref="F19:F20" si="0">ROUNDUP(SUM(D19:E19),2)</f>
        <v>164.61</v>
      </c>
    </row>
    <row r="20" spans="2:6" x14ac:dyDescent="0.2">
      <c r="B20" s="5"/>
      <c r="C20" t="s">
        <v>9</v>
      </c>
      <c r="D20" s="2">
        <f>ROUNDUP(734.038,2)</f>
        <v>734.04</v>
      </c>
      <c r="E20" s="2">
        <f>ROUNDUP(103.277,2)</f>
        <v>103.28</v>
      </c>
      <c r="F20">
        <f t="shared" si="0"/>
        <v>837.32</v>
      </c>
    </row>
  </sheetData>
  <mergeCells count="6">
    <mergeCell ref="B18:B20"/>
    <mergeCell ref="A2:A4"/>
    <mergeCell ref="A5:A7"/>
    <mergeCell ref="A8:A10"/>
    <mergeCell ref="D13:F13"/>
    <mergeCell ref="B15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FC19-FAF2-B64D-BF41-E5DD1FCA4B9C}">
  <dimension ref="A1:F5"/>
  <sheetViews>
    <sheetView tabSelected="1" workbookViewId="0">
      <selection sqref="A1:F5"/>
    </sheetView>
  </sheetViews>
  <sheetFormatPr baseColWidth="10" defaultColWidth="31" defaultRowHeight="16" x14ac:dyDescent="0.2"/>
  <cols>
    <col min="1" max="16384" width="31" style="7"/>
  </cols>
  <sheetData>
    <row r="1" spans="1:6" ht="42" x14ac:dyDescent="0.2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6" ht="42" x14ac:dyDescent="0.2">
      <c r="A2" s="6" t="s">
        <v>18</v>
      </c>
      <c r="B2" s="8" t="s">
        <v>19</v>
      </c>
      <c r="C2" s="8" t="s">
        <v>8</v>
      </c>
      <c r="D2" s="9" t="s">
        <v>20</v>
      </c>
      <c r="E2" s="10" t="s">
        <v>21</v>
      </c>
      <c r="F2" s="8" t="s">
        <v>22</v>
      </c>
    </row>
    <row r="3" spans="1:6" ht="23" x14ac:dyDescent="0.2">
      <c r="A3" s="6" t="s">
        <v>23</v>
      </c>
      <c r="B3" s="8" t="s">
        <v>19</v>
      </c>
      <c r="C3" s="8" t="s">
        <v>8</v>
      </c>
      <c r="D3" s="9" t="s">
        <v>20</v>
      </c>
      <c r="E3" s="10" t="s">
        <v>24</v>
      </c>
      <c r="F3" s="8" t="s">
        <v>25</v>
      </c>
    </row>
    <row r="4" spans="1:6" ht="63" x14ac:dyDescent="0.2">
      <c r="A4" s="6" t="s">
        <v>26</v>
      </c>
      <c r="B4" s="8" t="s">
        <v>27</v>
      </c>
      <c r="C4" s="8" t="s">
        <v>28</v>
      </c>
      <c r="D4" s="10" t="s">
        <v>24</v>
      </c>
      <c r="E4" s="11" t="s">
        <v>21</v>
      </c>
      <c r="F4" s="8" t="s">
        <v>29</v>
      </c>
    </row>
    <row r="5" spans="1:6" ht="42" x14ac:dyDescent="0.2">
      <c r="A5" s="6" t="s">
        <v>30</v>
      </c>
      <c r="B5" s="8" t="s">
        <v>33</v>
      </c>
      <c r="C5" s="8" t="s">
        <v>32</v>
      </c>
      <c r="D5" s="11" t="s">
        <v>21</v>
      </c>
      <c r="E5" s="11" t="s">
        <v>21</v>
      </c>
      <c r="F5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2024-07-10T05:29:26Z</dcterms:created>
  <dcterms:modified xsi:type="dcterms:W3CDTF">2024-07-10T06:28:31Z</dcterms:modified>
</cp:coreProperties>
</file>